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ómo medir (leer 1°)" sheetId="1" state="visible" r:id="rId3"/>
    <sheet name="Campañas (always-on)" sheetId="2" state="visible" r:id="rId4"/>
    <sheet name="Presupuesto x temporada" sheetId="3" state="visible" r:id="rId5"/>
    <sheet name="Setup y checklist" sheetId="4" state="visible" r:id="rId6"/>
    <sheet name="Mensajes WhatsApp" sheetId="5" state="visible" r:id="rId7"/>
    <sheet name="Medición y KPI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<sst xmlns="http://schemas.openxmlformats.org/spreadsheetml/2006/main" count="181" uniqueCount="152">
  <si>
    <t xml:space="preserve">Cómo medir WhatsApp como conversión (con anuncios que van a la LANDING)</t>
  </si>
  <si>
    <t xml:space="preserve">En criollo. El anuncio lleva a tu web; la conversión es que hagan clic en WhatsApp desde la web.</t>
  </si>
  <si>
    <t xml:space="preserve">Paso</t>
  </si>
  <si>
    <t xml:space="preserve">Explicación</t>
  </si>
  <si>
    <t xml:space="preserve">1. Qué es una 'conversión'</t>
  </si>
  <si>
    <t xml:space="preserve">La acción que para vos vale plata: que alguien te escriba por WhatsApp desde la landing. Todo lo demás (que miren la web) es tráfico, no conversión.</t>
  </si>
  <si>
    <t xml:space="preserve">2. Ya está medido</t>
  </si>
  <si>
    <t xml:space="preserve">El Pixel de Meta ya está puesto en tu web. Cuando alguien hace clic en el botón de WhatsApp, el Pixel anota ese clic con el nombre 'Contact'. Si además completa la solicitud entera, anota 'Lead'. Esto ya funciona hoy.</t>
  </si>
  <si>
    <t xml:space="preserve">3. El paso que falta (5 min en Meta)</t>
  </si>
  <si>
    <t xml:space="preserve">En el Administrador de eventos de Meta creás una 'conversión personalizada' a partir del evento 'Contact'. Eso le da a Meta un objetivo concreto: 'traeme gente que hace clic en WhatsApp', no solo visitas.</t>
  </si>
  <si>
    <t xml:space="preserve">4. Cómo se arma la campaña</t>
  </si>
  <si>
    <t xml:space="preserve">Objetivo: VENTAS (o Clientes potenciales). Lugar de conversión: SITIO WEB. Optimizar por: tu conversión 'Contact (clic WhatsApp)'. Así Meta deja de buscar curiosos y busca gente parecida a la que ya hizo clic en WhatsApp.</t>
  </si>
  <si>
    <t xml:space="preserve">5. Dos niveles de conversión</t>
  </si>
  <si>
    <t xml:space="preserve">• 'Contact' (clic en WhatsApp) = la conversión PRINCIPAL para optimizar (pasa seguido, Meta aprende rápido).  • 'Lead' (solicitud completa) = el lead FUERTE, se mide aparte como calidad.</t>
  </si>
  <si>
    <t xml:space="preserve">6. El límite honesto</t>
  </si>
  <si>
    <t xml:space="preserve">El Pixel mide el CLIC en WhatsApp, no si la persona finalmente mandó el mensaje adentro de WhatsApp. Con el modelo de landing eso es normal y suficiente: optimizás por el clic y confirmás la calidad con la conversación real.</t>
  </si>
  <si>
    <t xml:space="preserve">7. Detalle de volumen</t>
  </si>
  <si>
    <t xml:space="preserve">Meta aprende mejor con ~50 conversiones por semana por conjunto. Si al principio hay poco presupuesto y pocas conversiones, arrancá optimizando por un evento más 'arriba' (visitas a la landing o clic al botón) y pasá a 'Contact' cuando haya volumen.</t>
  </si>
  <si>
    <t xml:space="preserve">Diferencia vs. ir directo a WhatsApp</t>
  </si>
  <si>
    <t xml:space="preserve">Mandar a la landing (tu elección) = mejor marca, catálogo y calificación previa; la conversión es el clic 'Contact'. Ir directo a WhatsApp (CTWA) mide la conversación real pero se saltea la web. Elegiste landing: este material va 100% por ese camino.</t>
  </si>
  <si>
    <t xml:space="preserve">Estructura de campañas — 3 always-on + remarketing de soporte</t>
  </si>
  <si>
    <t xml:space="preserve">Todas prendidas todo el año; el presupuesto sube/baja por temporada (ver hoja siguiente). Objetivo Ventas → Sitio web → optimizar por 'Contact'.</t>
  </si>
  <si>
    <t xml:space="preserve">Campaña (always-on)</t>
  </si>
  <si>
    <t xml:space="preserve">Objetivo Meta</t>
  </si>
  <si>
    <t xml:space="preserve">Optimizar por</t>
  </si>
  <si>
    <t xml:space="preserve">Conjuntos (ad sets)</t>
  </si>
  <si>
    <t xml:space="preserve">Público</t>
  </si>
  <si>
    <t xml:space="preserve">Ubicaciones</t>
  </si>
  <si>
    <t xml:space="preserve">Creativos</t>
  </si>
  <si>
    <t xml:space="preserve">Rol</t>
  </si>
  <si>
    <t xml:space="preserve">LM_Bodas-Eventos_AO</t>
  </si>
  <si>
    <t xml:space="preserve">Ventas → Sitio web</t>
  </si>
  <si>
    <t xml:space="preserve">Contact (clic WhatsApp)</t>
  </si>
  <si>
    <t xml:space="preserve">P1 · Salón elegante Premium (PRIORIDAD, presupuesto propio por conjunto/ABO)</t>
  </si>
  <si>
    <t xml:space="preserve">Comprometidos/as AMBA · intereses casamiento, wedding planning, salones · + conjunto abierto</t>
  </si>
  <si>
    <t xml:space="preserve">Advantage+ (auto)</t>
  </si>
  <si>
    <t xml:space="preserve">Salón en dorados · antes/después de la mesa · reel montaje</t>
  </si>
  <si>
    <t xml:space="preserve">Motor de volumen y caja</t>
  </si>
  <si>
    <t xml:space="preserve">P2 · Mesa de honor (antigua)</t>
  </si>
  <si>
    <t xml:space="preserve">Bodas grandes · comprometidos/as · planners</t>
  </si>
  <si>
    <t xml:space="preserve">La cabecera fotografiada · detalle piezas antiguas</t>
  </si>
  <si>
    <t xml:space="preserve">Caballo de Troya que vende P1</t>
  </si>
  <si>
    <t xml:space="preserve">P3 · Boutique mix &amp; match (hasta ~80-100)</t>
  </si>
  <si>
    <t xml:space="preserve">Microbodas, civiles, eventos íntimos, deco vintage</t>
  </si>
  <si>
    <t xml:space="preserve">Mesa mix &amp; match · 'Menos invitados, mejor mesa'</t>
  </si>
  <si>
    <t xml:space="preserve">La firma / diferenciador</t>
  </si>
  <si>
    <t xml:space="preserve">LM_TeaParty_AO</t>
  </si>
  <si>
    <t xml:space="preserve">Tea Party Amplio-AMBA / Tea Party Abierto</t>
  </si>
  <si>
    <t xml:space="preserve">Mujeres 25-55 AMBA · baby/bridal shower, té, Bridgerton, cumpleaños, deco vintage</t>
  </si>
  <si>
    <t xml:space="preserve">Reel mesa armándose · carrusel ambientadas · estático Bridgerton</t>
  </si>
  <si>
    <t xml:space="preserve">Demanda de invierno (10-40 pax)</t>
  </si>
  <si>
    <t xml:space="preserve">LM_Corporativo_AO</t>
  </si>
  <si>
    <t xml:space="preserve">Corpo RRHH-Eventos / Corpo Abierto + remarketing</t>
  </si>
  <si>
    <t xml:space="preserve">Intereses RRHH/eventos corporativos/marketing AMBA + remarketing + abierto</t>
  </si>
  <si>
    <t xml:space="preserve">Mesa corporativa premium · 'Cena de fin de año'</t>
  </si>
  <si>
    <t xml:space="preserve">Solo fuerte en oct-dic</t>
  </si>
  <si>
    <t xml:space="preserve">LM_Remarketing_AO</t>
  </si>
  <si>
    <t xml:space="preserve">Visitantes 30/90d · IG-FB engagers 365d · video 75%</t>
  </si>
  <si>
    <t xml:space="preserve">Quienes ya entraron a la web o interactuaron (excluir los que ya escribieron)</t>
  </si>
  <si>
    <t xml:space="preserve">Mesas curadas con capacidad real · escasez de fechas</t>
  </si>
  <si>
    <t xml:space="preserve">Soporte constante, cierra ventas</t>
  </si>
  <si>
    <t xml:space="preserve">Presupuesto por temporada (USD/día) — always-on, se modula</t>
  </si>
  <si>
    <t xml:space="preserve">Números de arranque; subir un conjunto solo si su costo por conversación (CPL) ≤ USD 8-10. Ajustar por tipo de cambio y percepciones sobre pauta al exterior.</t>
  </si>
  <si>
    <t xml:space="preserve">Campaña</t>
  </si>
  <si>
    <t xml:space="preserve">Jul</t>
  </si>
  <si>
    <t xml:space="preserve">Ago</t>
  </si>
  <si>
    <t xml:space="preserve">Sep</t>
  </si>
  <si>
    <t xml:space="preserve">Oct</t>
  </si>
  <si>
    <t xml:space="preserve">Nov</t>
  </si>
  <si>
    <t xml:space="preserve">Dic</t>
  </si>
  <si>
    <t xml:space="preserve">Ene</t>
  </si>
  <si>
    <t xml:space="preserve">Feb</t>
  </si>
  <si>
    <t xml:space="preserve">Mar-Jun</t>
  </si>
  <si>
    <t xml:space="preserve">Rol estacional</t>
  </si>
  <si>
    <t xml:space="preserve">Bodas &amp; Eventos</t>
  </si>
  <si>
    <t xml:space="preserve">Pico primavera (sep-dic): las fechas se cierran AHORA</t>
  </si>
  <si>
    <t xml:space="preserve">Tea Party</t>
  </si>
  <si>
    <t xml:space="preserve">Pico invierno; baja en verano</t>
  </si>
  <si>
    <t xml:space="preserve">Corporativo</t>
  </si>
  <si>
    <t xml:space="preserve">Solo fin de año (oct-dic)</t>
  </si>
  <si>
    <t xml:space="preserve">Remarketing</t>
  </si>
  <si>
    <t xml:space="preserve">Constante todo el año</t>
  </si>
  <si>
    <t xml:space="preserve">TOTAL aprox USD/día</t>
  </si>
  <si>
    <t xml:space="preserve">Setup de cuenta — antes de escalar pauta</t>
  </si>
  <si>
    <t xml:space="preserve">Marcá cada ítem. Lo crítico es la conversión personalizada 'Contact' y la respuesta &lt; 1 h.</t>
  </si>
  <si>
    <t xml:space="preserve">Hecho</t>
  </si>
  <si>
    <t xml:space="preserve">Tarea</t>
  </si>
  <si>
    <t xml:space="preserve">Dónde / detalle</t>
  </si>
  <si>
    <t xml:space="preserve">☐</t>
  </si>
  <si>
    <t xml:space="preserve">Vincular el número de WhatsApp (5491167199527) a la Página de Facebook</t>
  </si>
  <si>
    <t xml:space="preserve">Meta Business Suite → Config → Cuentas de WhatsApp</t>
  </si>
  <si>
    <t xml:space="preserve">Confirmar que el Pixel dispara PageView, Contact (clic wa.me) y Lead (solicitud)</t>
  </si>
  <si>
    <t xml:space="preserve">Administrador de eventos → tu Pixel 1799713711390754 (ya está en el código)</t>
  </si>
  <si>
    <t xml:space="preserve">Crear la conversión personalizada 'Contact = clic WhatsApp' → la conversión principal</t>
  </si>
  <si>
    <t xml:space="preserve">Administrador de eventos → Conversiones personalizadas</t>
  </si>
  <si>
    <t xml:space="preserve">Crear conversión personalizada 'Lead = solicitud completa' (lead fuerte)</t>
  </si>
  <si>
    <t xml:space="preserve">Crear públicos: visitantes 30/90/180d · IG-FB engagers 365d · video 75%</t>
  </si>
  <si>
    <t xml:space="preserve">Administrador de anuncios → Públicos</t>
  </si>
  <si>
    <t xml:space="preserve">WhatsApp Business: mensaje de bienvenida, respuestas rápidas, etiquetas, ausencia</t>
  </si>
  <si>
    <t xml:space="preserve">App WhatsApp Business</t>
  </si>
  <si>
    <t xml:space="preserve">Guion de calificación: fecha · invitados · zona · tipo → derivar a P1/P2/P3</t>
  </si>
  <si>
    <t xml:space="preserve">Respuestas guardadas en WhatsApp Business</t>
  </si>
  <si>
    <t xml:space="preserve">Regla de oro operativa: primera respuesta en WhatsApp &lt; 1 hora (horario hábil)</t>
  </si>
  <si>
    <t xml:space="preserve">—</t>
  </si>
  <si>
    <t xml:space="preserve">Mensaje prellenado por ángulo (va en el botón de WhatsApp de cada sección de la landing)</t>
  </si>
  <si>
    <t xml:space="preserve">Califica desde el 1er mensaje (fecha, invitados, zona) y te dice de qué anuncio vino. NO usar 'Hola, me interesa' genérico.</t>
  </si>
  <si>
    <t xml:space="preserve">Ángulo</t>
  </si>
  <si>
    <t xml:space="preserve">Mensaje prellenado (link wa.me de esa sección)</t>
  </si>
  <si>
    <t xml:space="preserve">¡Hola La Melange! Vi el anuncio de Tea Party y quiero armar una merienda. Fecha [__] · [n] personas · zona [__]. ¿Me pasan info?</t>
  </si>
  <si>
    <t xml:space="preserve">P1 · Salón elegante</t>
  </si>
  <si>
    <t xml:space="preserve">¡Hola! Quiero cotizar la vajilla elegante para mi casamiento. Fecha [__] · invitados [__] · salón/zona [__].</t>
  </si>
  <si>
    <t xml:space="preserve">P2 · Mesa de honor</t>
  </si>
  <si>
    <t xml:space="preserve">¡Hola! Me interesa la mesa de honor en vajilla antigua para mi evento. Fecha [__] · invitados totales [__] · zona [__].</t>
  </si>
  <si>
    <t xml:space="preserve">P3 · Boutique</t>
  </si>
  <si>
    <t xml:space="preserve">¡Hola! Quiero una mesa mix &amp; match para un evento íntimo. Fecha [__] · invitados [__] · tipo (civil/microboda/cumple) [__].</t>
  </si>
  <si>
    <t xml:space="preserve">¡Hola! Consulto por vajilla para un evento de empresa. Fecha [__] · comensales [__] · zona [__] · empresa [__].</t>
  </si>
  <si>
    <t xml:space="preserve">Qué mirar cada semana</t>
  </si>
  <si>
    <t xml:space="preserve">Conversión principal (flujo landing): Contact = clic en WhatsApp. Lead = solicitud completa.</t>
  </si>
  <si>
    <t xml:space="preserve">Métrica</t>
  </si>
  <si>
    <t xml:space="preserve">Qué es</t>
  </si>
  <si>
    <t xml:space="preserve">Fuente</t>
  </si>
  <si>
    <t xml:space="preserve">Objetivo</t>
  </si>
  <si>
    <t xml:space="preserve">Contact (clic en WhatsApp)</t>
  </si>
  <si>
    <t xml:space="preserve">Conversión PRINCIPAL a optimizar en Meta</t>
  </si>
  <si>
    <t xml:space="preserve">Pixel / Meta Ads</t>
  </si>
  <si>
    <t xml:space="preserve">Volumen creciente</t>
  </si>
  <si>
    <t xml:space="preserve">Costo por Contact (CPL)</t>
  </si>
  <si>
    <t xml:space="preserve">Gasto / clics de WhatsApp</t>
  </si>
  <si>
    <t xml:space="preserve">Meta Ads</t>
  </si>
  <si>
    <t xml:space="preserve">USD 3-10 (validar)</t>
  </si>
  <si>
    <t xml:space="preserve">Lead (solicitud completa)</t>
  </si>
  <si>
    <t xml:space="preserve">Lead fuerte: armó el pedido entero</t>
  </si>
  <si>
    <t xml:space="preserve">Pixel / GA4</t>
  </si>
  <si>
    <t xml:space="preserve">Maximizar</t>
  </si>
  <si>
    <t xml:space="preserve">% calificados</t>
  </si>
  <si>
    <t xml:space="preserve">Chats que responden el guion (fecha+invitados+zona)</t>
  </si>
  <si>
    <t xml:space="preserve">WhatsApp Business (etiquetas)</t>
  </si>
  <si>
    <t xml:space="preserve">≥ 40%</t>
  </si>
  <si>
    <t xml:space="preserve">Presupuestos enviados</t>
  </si>
  <si>
    <t xml:space="preserve">Cotizaciones formales</t>
  </si>
  <si>
    <t xml:space="preserve">Operación</t>
  </si>
  <si>
    <t xml:space="preserve">25-40/mes en escala</t>
  </si>
  <si>
    <t xml:space="preserve">Reservas y facturación x producto</t>
  </si>
  <si>
    <t xml:space="preserve">P1 / P2 / P3 / Tea — resultado de negocio</t>
  </si>
  <si>
    <t xml:space="preserve">8-15 reservas/mes</t>
  </si>
  <si>
    <t xml:space="preserve">Utilización línea Premium</t>
  </si>
  <si>
    <t xml:space="preserve">% del stock Premium alquilado</t>
  </si>
  <si>
    <t xml:space="preserve">EL KPI que más importa</t>
  </si>
  <si>
    <t xml:space="preserve">1ª respuesta WhatsApp</t>
  </si>
  <si>
    <t xml:space="preserve">Tiempo hasta contestar el 1er mensaje</t>
  </si>
  <si>
    <t xml:space="preserve">WhatsApp Business</t>
  </si>
  <si>
    <t xml:space="preserve">&lt; 1 hora (hábil)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</si>
</sst>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5"/>
      <color rgb="FF2C3E50"/>
      <name val="Arial"/>
      <family val="0"/>
      <charset val="1"/>
    </font>
    <font>
      <i val="true"/>
      <sz val="9"/>
      <color rgb="FF6F6A64"/>
      <name val="Arial"/>
      <family val="0"/>
      <charset val="1"/>
    </font>
    <font>
      <b val="true"/>
      <sz val="10"/>
      <color rgb="FFFFFFFF"/>
      <name val="Arial"/>
      <family val="0"/>
      <charset val="1"/>
    </font>
    <font>
      <sz val="11"/>
      <color rgb="FF1A1A1A"/>
      <name val="Arial"/>
      <family val="0"/>
      <charset val="1"/>
    </font>
    <font>
      <b val="true"/>
      <sz val="11"/>
      <color rgb="FF1A1A1A"/>
      <name val="Arial"/>
      <family val="0"/>
      <charset val="1"/>
    </font>
  </fonts>
  <fills count="5">
    <fill>
      <patternFill patternType="none"/>
    </fill>
    <fill>
      <patternFill patternType="gray125"/>
    </fill>
    <fill>
      <patternFill patternType="solid">
        <fgColor rgb="FF2C3E50"/>
        <bgColor rgb="FF333399"/>
      </patternFill>
    </fill>
    <fill>
      <patternFill patternType="solid">
        <fgColor rgb="FFFBF3E3"/>
        <bgColor rgb="FFF6F4F1"/>
      </patternFill>
    </fill>
    <fill>
      <patternFill patternType="solid">
        <fgColor rgb="FFF6F4F1"/>
        <bgColor rgb="FFFBF3E3"/>
      </patternFill>
    </fill>
  </fills>
  <borders count="2">
    <border diagonalUp="false" diagonalDown="false">
      <left/>
      <right/>
      <top/>
      <bottom/>
      <diagonal/>
    </border>
    <border diagonalUp="false" diagonalDown="false">
      <left style="thin">
        <color rgb="FFE5E1DB"/>
      </left>
      <right style="thin">
        <color rgb="FFE5E1DB"/>
      </right>
      <top style="thin">
        <color rgb="FFE5E1DB"/>
      </top>
      <bottom style="thin">
        <color rgb="FFE5E1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3E3"/>
      <rgbColor rgb="FFF6F4F1"/>
      <rgbColor rgb="FF660066"/>
      <rgbColor rgb="FFFF8080"/>
      <rgbColor rgb="FF0066CC"/>
      <rgbColor rgb="FFE5E1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F6A64"/>
      <rgbColor rgb="FF969696"/>
      <rgbColor rgb="FF003366"/>
      <rgbColor rgb="FF339966"/>
      <rgbColor rgb="FF003300"/>
      <rgbColor rgb="FF1A1A1A"/>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19.5" hidden="false" customHeight="true" outlineLevel="0" collapsed="false">
      <c r="A1" s="1" t="s">
        <v>0</v>
      </c>
      <c r="B1" s="1"/>
    </row>
    <row r="2" customFormat="false" ht="15" hidden="false" customHeight="false" outlineLevel="0" collapsed="false">
      <c r="A2" s="2" t="s">
        <v>1</v>
      </c>
      <c r="B2" s="2"/>
    </row>
    <row r="4" customFormat="false" ht="15" hidden="false" customHeight="false" outlineLevel="0" collapsed="false">
      <c r="A4" s="3" t="s">
        <v>2</v>
      </c>
      <c r="B4" s="3" t="s">
        <v>3</v>
      </c>
    </row>
    <row r="5" customFormat="false" ht="26.85" hidden="false" customHeight="false" outlineLevel="0" collapsed="false">
      <c r="A5" s="4" t="s">
        <v>4</v>
      </c>
      <c r="B5" s="4" t="s">
        <v>5</v>
      </c>
    </row>
    <row r="6" customFormat="false" ht="39.55" hidden="false" customHeight="false" outlineLevel="0" collapsed="false">
      <c r="A6" s="4" t="s">
        <v>6</v>
      </c>
      <c r="B6" s="4" t="s">
        <v>7</v>
      </c>
    </row>
    <row r="7" customFormat="false" ht="39.55" hidden="false" customHeight="false" outlineLevel="0" collapsed="false">
      <c r="A7" s="5" t="s">
        <v>8</v>
      </c>
      <c r="B7" s="5" t="s">
        <v>9</v>
      </c>
    </row>
    <row r="8" customFormat="false" ht="39.55" hidden="false" customHeight="false" outlineLevel="0" collapsed="false">
      <c r="A8" s="5" t="s">
        <v>10</v>
      </c>
      <c r="B8" s="5" t="s">
        <v>11</v>
      </c>
    </row>
    <row r="9" customFormat="false" ht="26.85" hidden="false" customHeight="false" outlineLevel="0" collapsed="false">
      <c r="A9" s="4" t="s">
        <v>12</v>
      </c>
      <c r="B9" s="4" t="s">
        <v>13</v>
      </c>
    </row>
    <row r="10" customFormat="false" ht="39.55" hidden="false" customHeight="false" outlineLevel="0" collapsed="false">
      <c r="A10" s="4" t="s">
        <v>14</v>
      </c>
      <c r="B10" s="4" t="s">
        <v>15</v>
      </c>
    </row>
    <row r="11" customFormat="false" ht="39.55" hidden="false" customHeight="false" outlineLevel="0" collapsed="false">
      <c r="A11" s="4" t="s">
        <v>16</v>
      </c>
      <c r="B11" s="4" t="s">
        <v>17</v>
      </c>
    </row>
    <row r="12" customFormat="false" ht="39.55" hidden="false" customHeight="false" outlineLevel="0" collapsed="false">
      <c r="A12" s="4" t="s">
        <v>18</v>
      </c>
      <c r="B12" s="4" t="s">
        <v>19</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3" min="2" style="0" width="20"/>
    <col collapsed="false" customWidth="true" hidden="false" outlineLevel="0" max="4" min="4" style="0" width="26"/>
    <col collapsed="false" customWidth="true" hidden="false" outlineLevel="0" max="5" min="5" style="0" width="32"/>
    <col collapsed="false" customWidth="true" hidden="false" outlineLevel="0" max="6" min="6" style="0" width="16"/>
    <col collapsed="false" customWidth="true" hidden="false" outlineLevel="0" max="7" min="7" style="0" width="26"/>
    <col collapsed="false" customWidth="true" hidden="false" outlineLevel="0" max="8" min="8" style="0" width="22"/>
  </cols>
  <sheetData>
    <row r="1" customFormat="false" ht="19.5" hidden="false" customHeight="true" outlineLevel="0" collapsed="false">
      <c r="A1" s="1" t="s">
        <v>20</v>
      </c>
      <c r="B1" s="1"/>
      <c r="C1" s="1"/>
      <c r="D1" s="1"/>
      <c r="E1" s="1"/>
      <c r="F1" s="1"/>
      <c r="G1" s="1"/>
      <c r="H1" s="1"/>
    </row>
    <row r="2" customFormat="false" ht="15" hidden="false" customHeight="false" outlineLevel="0" collapsed="false">
      <c r="A2" s="2" t="s">
        <v>21</v>
      </c>
      <c r="B2" s="2"/>
      <c r="C2" s="2"/>
      <c r="D2" s="2"/>
      <c r="E2" s="2"/>
      <c r="F2" s="2"/>
      <c r="G2" s="2"/>
      <c r="H2" s="2"/>
    </row>
    <row r="4" customFormat="false" ht="15" hidden="false" customHeight="false" outlineLevel="0" collapsed="false">
      <c r="A4" s="3" t="s">
        <v>22</v>
      </c>
      <c r="B4" s="3" t="s">
        <v>23</v>
      </c>
      <c r="C4" s="3" t="s">
        <v>24</v>
      </c>
      <c r="D4" s="3" t="s">
        <v>25</v>
      </c>
      <c r="E4" s="3" t="s">
        <v>26</v>
      </c>
      <c r="F4" s="3" t="s">
        <v>27</v>
      </c>
      <c r="G4" s="3" t="s">
        <v>28</v>
      </c>
      <c r="H4" s="3" t="s">
        <v>29</v>
      </c>
    </row>
    <row r="5" customFormat="false" ht="52.2" hidden="false" customHeight="false" outlineLevel="0" collapsed="false">
      <c r="A5" s="5" t="s">
        <v>30</v>
      </c>
      <c r="B5" s="5" t="s">
        <v>31</v>
      </c>
      <c r="C5" s="5" t="s">
        <v>32</v>
      </c>
      <c r="D5" s="5" t="s">
        <v>33</v>
      </c>
      <c r="E5" s="5" t="s">
        <v>34</v>
      </c>
      <c r="F5" s="5" t="s">
        <v>35</v>
      </c>
      <c r="G5" s="5" t="s">
        <v>36</v>
      </c>
      <c r="H5" s="5" t="s">
        <v>37</v>
      </c>
    </row>
    <row r="6" customFormat="false" ht="26.85" hidden="false" customHeight="false" outlineLevel="0" collapsed="false">
      <c r="A6" s="4" t="s">
        <v>30</v>
      </c>
      <c r="B6" s="4" t="s">
        <v>31</v>
      </c>
      <c r="C6" s="4" t="s">
        <v>32</v>
      </c>
      <c r="D6" s="4" t="s">
        <v>38</v>
      </c>
      <c r="E6" s="4" t="s">
        <v>39</v>
      </c>
      <c r="F6" s="4" t="s">
        <v>35</v>
      </c>
      <c r="G6" s="4" t="s">
        <v>40</v>
      </c>
      <c r="H6" s="4" t="s">
        <v>41</v>
      </c>
    </row>
    <row r="7" customFormat="false" ht="39.55" hidden="false" customHeight="false" outlineLevel="0" collapsed="false">
      <c r="A7" s="4" t="s">
        <v>30</v>
      </c>
      <c r="B7" s="4" t="s">
        <v>31</v>
      </c>
      <c r="C7" s="4" t="s">
        <v>32</v>
      </c>
      <c r="D7" s="4" t="s">
        <v>42</v>
      </c>
      <c r="E7" s="4" t="s">
        <v>43</v>
      </c>
      <c r="F7" s="4" t="s">
        <v>35</v>
      </c>
      <c r="G7" s="4" t="s">
        <v>44</v>
      </c>
      <c r="H7" s="4" t="s">
        <v>45</v>
      </c>
    </row>
    <row r="8" customFormat="false" ht="52.2" hidden="false" customHeight="false" outlineLevel="0" collapsed="false">
      <c r="A8" s="4" t="s">
        <v>46</v>
      </c>
      <c r="B8" s="4" t="s">
        <v>31</v>
      </c>
      <c r="C8" s="4" t="s">
        <v>32</v>
      </c>
      <c r="D8" s="4" t="s">
        <v>47</v>
      </c>
      <c r="E8" s="4" t="s">
        <v>48</v>
      </c>
      <c r="F8" s="4" t="s">
        <v>35</v>
      </c>
      <c r="G8" s="4" t="s">
        <v>49</v>
      </c>
      <c r="H8" s="4" t="s">
        <v>50</v>
      </c>
    </row>
    <row r="9" customFormat="false" ht="39.55" hidden="false" customHeight="false" outlineLevel="0" collapsed="false">
      <c r="A9" s="4" t="s">
        <v>51</v>
      </c>
      <c r="B9" s="4" t="s">
        <v>31</v>
      </c>
      <c r="C9" s="4" t="s">
        <v>32</v>
      </c>
      <c r="D9" s="4" t="s">
        <v>52</v>
      </c>
      <c r="E9" s="4" t="s">
        <v>53</v>
      </c>
      <c r="F9" s="4" t="s">
        <v>35</v>
      </c>
      <c r="G9" s="4" t="s">
        <v>54</v>
      </c>
      <c r="H9" s="4" t="s">
        <v>55</v>
      </c>
    </row>
    <row r="10" customFormat="false" ht="39.55" hidden="false" customHeight="false" outlineLevel="0" collapsed="false">
      <c r="A10" s="4" t="s">
        <v>56</v>
      </c>
      <c r="B10" s="4" t="s">
        <v>31</v>
      </c>
      <c r="C10" s="4" t="s">
        <v>32</v>
      </c>
      <c r="D10" s="4" t="s">
        <v>57</v>
      </c>
      <c r="E10" s="4" t="s">
        <v>58</v>
      </c>
      <c r="F10" s="4" t="s">
        <v>35</v>
      </c>
      <c r="G10" s="4" t="s">
        <v>59</v>
      </c>
      <c r="H10" s="4" t="s">
        <v>60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9" min="2" style="0" width="7"/>
    <col collapsed="false" customWidth="true" hidden="false" outlineLevel="0" max="10" min="10" style="0" width="10"/>
    <col collapsed="false" customWidth="true" hidden="false" outlineLevel="0" max="11" min="11" style="0" width="30"/>
  </cols>
  <sheetData>
    <row r="1" customFormat="false" ht="19.5" hidden="false" customHeight="true" outlineLevel="0" collapsed="false">
      <c r="A1" s="1" t="s">
        <v>61</v>
      </c>
      <c r="B1" s="1"/>
      <c r="C1" s="1"/>
      <c r="D1" s="1"/>
      <c r="E1" s="1"/>
      <c r="F1" s="1"/>
      <c r="G1" s="1"/>
      <c r="H1" s="1"/>
      <c r="I1" s="1"/>
      <c r="J1" s="1"/>
      <c r="K1" s="1"/>
    </row>
    <row r="2" customFormat="false" ht="15" hidden="false" customHeight="false" outlineLevel="0" collapsed="false">
      <c r="A2" s="2" t="s">
        <v>62</v>
      </c>
      <c r="B2" s="2"/>
      <c r="C2" s="2"/>
      <c r="D2" s="2"/>
      <c r="E2" s="2"/>
      <c r="F2" s="2"/>
      <c r="G2" s="2"/>
      <c r="H2" s="2"/>
      <c r="I2" s="2"/>
      <c r="J2" s="2"/>
      <c r="K2" s="2"/>
    </row>
    <row r="4" customFormat="false" ht="15" hidden="false" customHeight="false" outlineLevel="0" collapsed="false">
      <c r="A4" s="3" t="s">
        <v>63</v>
      </c>
      <c r="B4" s="3" t="s">
        <v>64</v>
      </c>
      <c r="C4" s="3" t="s">
        <v>65</v>
      </c>
      <c r="D4" s="3" t="s">
        <v>66</v>
      </c>
      <c r="E4" s="3" t="s">
        <v>67</v>
      </c>
      <c r="F4" s="3" t="s">
        <v>68</v>
      </c>
      <c r="G4" s="3" t="s">
        <v>69</v>
      </c>
      <c r="H4" s="3" t="s">
        <v>70</v>
      </c>
      <c r="I4" s="3" t="s">
        <v>71</v>
      </c>
      <c r="J4" s="3" t="s">
        <v>72</v>
      </c>
      <c r="K4" s="3" t="s">
        <v>73</v>
      </c>
    </row>
    <row r="5" customFormat="false" ht="26.85" hidden="false" customHeight="false" outlineLevel="0" collapsed="false">
      <c r="A5" s="4" t="s">
        <v>74</v>
      </c>
      <c r="B5" s="6" t="n">
        <v>5</v>
      </c>
      <c r="C5" s="6" t="n">
        <v>8</v>
      </c>
      <c r="D5" s="6" t="n">
        <v>12</v>
      </c>
      <c r="E5" s="6" t="n">
        <v>18</v>
      </c>
      <c r="F5" s="6" t="n">
        <v>20</v>
      </c>
      <c r="G5" s="6" t="n">
        <v>15</v>
      </c>
      <c r="H5" s="6" t="n">
        <v>5</v>
      </c>
      <c r="I5" s="6" t="n">
        <v>6</v>
      </c>
      <c r="J5" s="6" t="n">
        <v>8</v>
      </c>
      <c r="K5" s="4" t="s">
        <v>75</v>
      </c>
    </row>
    <row r="6" customFormat="false" ht="15" hidden="false" customHeight="false" outlineLevel="0" collapsed="false">
      <c r="A6" s="4" t="s">
        <v>76</v>
      </c>
      <c r="B6" s="6" t="n">
        <v>7</v>
      </c>
      <c r="C6" s="6" t="n">
        <v>6</v>
      </c>
      <c r="D6" s="6" t="n">
        <v>4</v>
      </c>
      <c r="E6" s="6" t="n">
        <v>3</v>
      </c>
      <c r="F6" s="6" t="n">
        <v>3</v>
      </c>
      <c r="G6" s="6" t="n">
        <v>3</v>
      </c>
      <c r="H6" s="6" t="n">
        <v>2</v>
      </c>
      <c r="I6" s="6" t="n">
        <v>3</v>
      </c>
      <c r="J6" s="6" t="n">
        <v>5</v>
      </c>
      <c r="K6" s="4" t="s">
        <v>77</v>
      </c>
    </row>
    <row r="7" customFormat="false" ht="15" hidden="false" customHeight="false" outlineLevel="0" collapsed="false">
      <c r="A7" s="4" t="s">
        <v>78</v>
      </c>
      <c r="B7" s="6" t="n">
        <v>0</v>
      </c>
      <c r="C7" s="6" t="n">
        <v>0</v>
      </c>
      <c r="D7" s="6" t="n">
        <v>2</v>
      </c>
      <c r="E7" s="6" t="n">
        <v>5</v>
      </c>
      <c r="F7" s="6" t="n">
        <v>8</v>
      </c>
      <c r="G7" s="6" t="n">
        <v>8</v>
      </c>
      <c r="H7" s="6" t="n">
        <v>0</v>
      </c>
      <c r="I7" s="6" t="n">
        <v>0</v>
      </c>
      <c r="J7" s="6" t="n">
        <v>2</v>
      </c>
      <c r="K7" s="4" t="s">
        <v>79</v>
      </c>
    </row>
    <row r="8" customFormat="false" ht="15" hidden="false" customHeight="false" outlineLevel="0" collapsed="false">
      <c r="A8" s="4" t="s">
        <v>80</v>
      </c>
      <c r="B8" s="6" t="n">
        <v>2</v>
      </c>
      <c r="C8" s="6" t="n">
        <v>3</v>
      </c>
      <c r="D8" s="6" t="n">
        <v>3</v>
      </c>
      <c r="E8" s="6" t="n">
        <v>3</v>
      </c>
      <c r="F8" s="6" t="n">
        <v>3</v>
      </c>
      <c r="G8" s="6" t="n">
        <v>3</v>
      </c>
      <c r="H8" s="6" t="n">
        <v>2</v>
      </c>
      <c r="I8" s="6" t="n">
        <v>2</v>
      </c>
      <c r="J8" s="6" t="n">
        <v>2</v>
      </c>
      <c r="K8" s="4" t="s">
        <v>81</v>
      </c>
    </row>
    <row r="9" customFormat="false" ht="26.85" hidden="false" customHeight="false" outlineLevel="0" collapsed="false">
      <c r="A9" s="7" t="s">
        <v>82</v>
      </c>
      <c r="B9" s="8" t="n">
        <f aca="false">SUM(B5:B8)</f>
        <v>14</v>
      </c>
      <c r="C9" s="8" t="n">
        <f aca="false">SUM(C5:C8)</f>
        <v>17</v>
      </c>
      <c r="D9" s="8" t="n">
        <f aca="false">SUM(D5:D8)</f>
        <v>21</v>
      </c>
      <c r="E9" s="8" t="n">
        <f aca="false">SUM(E5:E8)</f>
        <v>29</v>
      </c>
      <c r="F9" s="8" t="n">
        <f aca="false">SUM(F5:F8)</f>
        <v>34</v>
      </c>
      <c r="G9" s="8" t="n">
        <f aca="false">SUM(G5:G8)</f>
        <v>29</v>
      </c>
      <c r="H9" s="8" t="n">
        <f aca="false">SUM(H5:H8)</f>
        <v>9</v>
      </c>
      <c r="I9" s="8" t="n">
        <f aca="false">SUM(I5:I8)</f>
        <v>11</v>
      </c>
      <c r="J9" s="8" t="n">
        <f aca="false">SUM(J5:J8)</f>
        <v>17</v>
      </c>
      <c r="K9" s="8"/>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60"/>
  </cols>
  <sheetData>
    <row r="1" customFormat="false" ht="19.5" hidden="false" customHeight="true" outlineLevel="0" collapsed="false">
      <c r="A1" s="1" t="s">
        <v>83</v>
      </c>
      <c r="B1" s="1"/>
      <c r="C1" s="1"/>
    </row>
    <row r="2" customFormat="false" ht="15" hidden="false" customHeight="false" outlineLevel="0" collapsed="false">
      <c r="A2" s="2" t="s">
        <v>84</v>
      </c>
      <c r="B2" s="2"/>
      <c r="C2" s="2"/>
    </row>
    <row r="4" customFormat="false" ht="15" hidden="false" customHeight="false" outlineLevel="0" collapsed="false">
      <c r="A4" s="3" t="s">
        <v>85</v>
      </c>
      <c r="B4" s="3" t="s">
        <v>86</v>
      </c>
      <c r="C4" s="3" t="s">
        <v>87</v>
      </c>
    </row>
    <row r="5" customFormat="false" ht="26.85" hidden="false" customHeight="false" outlineLevel="0" collapsed="false">
      <c r="A5" s="6" t="s">
        <v>88</v>
      </c>
      <c r="B5" s="4" t="s">
        <v>89</v>
      </c>
      <c r="C5" s="4" t="s">
        <v>90</v>
      </c>
    </row>
    <row r="6" customFormat="false" ht="26.85" hidden="false" customHeight="false" outlineLevel="0" collapsed="false">
      <c r="A6" s="6" t="s">
        <v>88</v>
      </c>
      <c r="B6" s="4" t="s">
        <v>91</v>
      </c>
      <c r="C6" s="4" t="s">
        <v>92</v>
      </c>
    </row>
    <row r="7" customFormat="false" ht="26.85" hidden="false" customHeight="false" outlineLevel="0" collapsed="false">
      <c r="A7" s="6" t="s">
        <v>88</v>
      </c>
      <c r="B7" s="4" t="s">
        <v>93</v>
      </c>
      <c r="C7" s="4" t="s">
        <v>94</v>
      </c>
    </row>
    <row r="8" customFormat="false" ht="26.85" hidden="false" customHeight="false" outlineLevel="0" collapsed="false">
      <c r="A8" s="6" t="s">
        <v>88</v>
      </c>
      <c r="B8" s="4" t="s">
        <v>95</v>
      </c>
      <c r="C8" s="4" t="s">
        <v>94</v>
      </c>
    </row>
    <row r="9" customFormat="false" ht="26.85" hidden="false" customHeight="false" outlineLevel="0" collapsed="false">
      <c r="A9" s="6" t="s">
        <v>88</v>
      </c>
      <c r="B9" s="4" t="s">
        <v>96</v>
      </c>
      <c r="C9" s="4" t="s">
        <v>97</v>
      </c>
    </row>
    <row r="10" customFormat="false" ht="26.85" hidden="false" customHeight="false" outlineLevel="0" collapsed="false">
      <c r="A10" s="6" t="s">
        <v>88</v>
      </c>
      <c r="B10" s="4" t="s">
        <v>98</v>
      </c>
      <c r="C10" s="4" t="s">
        <v>99</v>
      </c>
    </row>
    <row r="11" customFormat="false" ht="26.85" hidden="false" customHeight="false" outlineLevel="0" collapsed="false">
      <c r="A11" s="6" t="s">
        <v>88</v>
      </c>
      <c r="B11" s="4" t="s">
        <v>100</v>
      </c>
      <c r="C11" s="4" t="s">
        <v>101</v>
      </c>
    </row>
    <row r="12" customFormat="false" ht="26.85" hidden="false" customHeight="false" outlineLevel="0" collapsed="false">
      <c r="A12" s="6" t="s">
        <v>88</v>
      </c>
      <c r="B12" s="4" t="s">
        <v>102</v>
      </c>
      <c r="C12" s="4" t="s">
        <v>103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95"/>
  </cols>
  <sheetData>
    <row r="1" customFormat="false" ht="19.5" hidden="false" customHeight="true" outlineLevel="0" collapsed="false">
      <c r="A1" s="1" t="s">
        <v>104</v>
      </c>
      <c r="B1" s="1"/>
    </row>
    <row r="2" customFormat="false" ht="15" hidden="false" customHeight="false" outlineLevel="0" collapsed="false">
      <c r="A2" s="2" t="s">
        <v>105</v>
      </c>
      <c r="B2" s="2"/>
    </row>
    <row r="4" customFormat="false" ht="15" hidden="false" customHeight="false" outlineLevel="0" collapsed="false">
      <c r="A4" s="3" t="s">
        <v>106</v>
      </c>
      <c r="B4" s="3" t="s">
        <v>107</v>
      </c>
    </row>
    <row r="5" customFormat="false" ht="26.85" hidden="false" customHeight="false" outlineLevel="0" collapsed="false">
      <c r="A5" s="4" t="s">
        <v>76</v>
      </c>
      <c r="B5" s="4" t="s">
        <v>108</v>
      </c>
    </row>
    <row r="6" customFormat="false" ht="26.85" hidden="false" customHeight="false" outlineLevel="0" collapsed="false">
      <c r="A6" s="4" t="s">
        <v>109</v>
      </c>
      <c r="B6" s="4" t="s">
        <v>110</v>
      </c>
    </row>
    <row r="7" customFormat="false" ht="26.85" hidden="false" customHeight="false" outlineLevel="0" collapsed="false">
      <c r="A7" s="4" t="s">
        <v>111</v>
      </c>
      <c r="B7" s="4" t="s">
        <v>112</v>
      </c>
    </row>
    <row r="8" customFormat="false" ht="26.85" hidden="false" customHeight="false" outlineLevel="0" collapsed="false">
      <c r="A8" s="4" t="s">
        <v>113</v>
      </c>
      <c r="B8" s="4" t="s">
        <v>114</v>
      </c>
    </row>
    <row r="9" customFormat="false" ht="26.85" hidden="false" customHeight="false" outlineLevel="0" collapsed="false">
      <c r="A9" s="4" t="s">
        <v>78</v>
      </c>
      <c r="B9" s="4" t="s">
        <v>115</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22"/>
    <col collapsed="false" customWidth="true" hidden="false" outlineLevel="0" max="4" min="4" style="0" width="26"/>
  </cols>
  <sheetData>
    <row r="1" customFormat="false" ht="19.5" hidden="false" customHeight="true" outlineLevel="0" collapsed="false">
      <c r="A1" s="1" t="s">
        <v>116</v>
      </c>
      <c r="B1" s="1"/>
      <c r="C1" s="1"/>
      <c r="D1" s="1"/>
    </row>
    <row r="2" customFormat="false" ht="15" hidden="false" customHeight="false" outlineLevel="0" collapsed="false">
      <c r="A2" s="2" t="s">
        <v>117</v>
      </c>
      <c r="B2" s="2"/>
      <c r="C2" s="2"/>
      <c r="D2" s="2"/>
    </row>
    <row r="4" customFormat="false" ht="15" hidden="false" customHeight="false" outlineLevel="0" collapsed="false">
      <c r="A4" s="3" t="s">
        <v>118</v>
      </c>
      <c r="B4" s="3" t="s">
        <v>119</v>
      </c>
      <c r="C4" s="3" t="s">
        <v>120</v>
      </c>
      <c r="D4" s="3" t="s">
        <v>121</v>
      </c>
    </row>
    <row r="5" customFormat="false" ht="15" hidden="false" customHeight="false" outlineLevel="0" collapsed="false">
      <c r="A5" s="5" t="s">
        <v>122</v>
      </c>
      <c r="B5" s="5" t="s">
        <v>123</v>
      </c>
      <c r="C5" s="5" t="s">
        <v>124</v>
      </c>
      <c r="D5" s="5" t="s">
        <v>125</v>
      </c>
    </row>
    <row r="6" customFormat="false" ht="15" hidden="false" customHeight="false" outlineLevel="0" collapsed="false">
      <c r="A6" s="4" t="s">
        <v>126</v>
      </c>
      <c r="B6" s="4" t="s">
        <v>127</v>
      </c>
      <c r="C6" s="4" t="s">
        <v>128</v>
      </c>
      <c r="D6" s="4" t="s">
        <v>129</v>
      </c>
    </row>
    <row r="7" customFormat="false" ht="15" hidden="false" customHeight="false" outlineLevel="0" collapsed="false">
      <c r="A7" s="4" t="s">
        <v>130</v>
      </c>
      <c r="B7" s="4" t="s">
        <v>131</v>
      </c>
      <c r="C7" s="4" t="s">
        <v>132</v>
      </c>
      <c r="D7" s="4" t="s">
        <v>133</v>
      </c>
    </row>
    <row r="8" customFormat="false" ht="26.85" hidden="false" customHeight="false" outlineLevel="0" collapsed="false">
      <c r="A8" s="4" t="s">
        <v>134</v>
      </c>
      <c r="B8" s="4" t="s">
        <v>135</v>
      </c>
      <c r="C8" s="4" t="s">
        <v>136</v>
      </c>
      <c r="D8" s="4" t="s">
        <v>137</v>
      </c>
    </row>
    <row r="9" customFormat="false" ht="15" hidden="false" customHeight="false" outlineLevel="0" collapsed="false">
      <c r="A9" s="4" t="s">
        <v>138</v>
      </c>
      <c r="B9" s="4" t="s">
        <v>139</v>
      </c>
      <c r="C9" s="4" t="s">
        <v>140</v>
      </c>
      <c r="D9" s="4" t="s">
        <v>141</v>
      </c>
    </row>
    <row r="10" customFormat="false" ht="26.85" hidden="false" customHeight="false" outlineLevel="0" collapsed="false">
      <c r="A10" s="4" t="s">
        <v>142</v>
      </c>
      <c r="B10" s="4" t="s">
        <v>143</v>
      </c>
      <c r="C10" s="4" t="s">
        <v>140</v>
      </c>
      <c r="D10" s="4" t="s">
        <v>144</v>
      </c>
    </row>
    <row r="11" customFormat="false" ht="15" hidden="false" customHeight="false" outlineLevel="0" collapsed="false">
      <c r="A11" s="5" t="s">
        <v>145</v>
      </c>
      <c r="B11" s="5" t="s">
        <v>146</v>
      </c>
      <c r="C11" s="5" t="s">
        <v>140</v>
      </c>
      <c r="D11" s="5" t="s">
        <v>147</v>
      </c>
    </row>
    <row r="12" customFormat="false" ht="15" hidden="false" customHeight="false" outlineLevel="0" collapsed="false">
      <c r="A12" s="4" t="s">
        <v>148</v>
      </c>
      <c r="B12" s="4" t="s">
        <v>149</v>
      </c>
      <c r="C12" s="4" t="s">
        <v>150</v>
      </c>
      <c r="D12" s="4" t="s">
        <v>151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2026-07-06T22:32:30Z</dcterms:created>
  <dc:creator>openpyxl</dc:creator>
  <dc:description/>
  <dc:language>en-US</dc:language>
  <cp:lastModifiedBy/>
  <dcterms:modified xsi:type="dcterms:W3CDTF">2026-07-06T22:32:30Z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